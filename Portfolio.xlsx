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Layon\OneDrive\Desktop\"/>
    </mc:Choice>
  </mc:AlternateContent>
  <xr:revisionPtr revIDLastSave="0" documentId="8_{879B179D-A892-434A-BDC2-4319CC56B6EE}" xr6:coauthVersionLast="47" xr6:coauthVersionMax="47" xr10:uidLastSave="{00000000-0000-0000-0000-000000000000}"/>
  <bookViews>
    <workbookView xWindow="-120" yWindow="-120" windowWidth="29040" windowHeight="16440" activeTab="7" xr2:uid="{35A67212-B5BA-4B22-8B6D-319E1837B82B}"/>
  </bookViews>
  <sheets>
    <sheet name="Sheet1" sheetId="1" r:id="rId1"/>
    <sheet name="Sheet2" sheetId="3" r:id="rId2"/>
    <sheet name="Sheet3" sheetId="4" r:id="rId3"/>
    <sheet name="Sheet4" sheetId="5" r:id="rId4"/>
    <sheet name="Employee Data" sheetId="6" r:id="rId5"/>
    <sheet name="Dept Code Refs" sheetId="7" r:id="rId6"/>
    <sheet name="Pivot Table1" sheetId="8" r:id="rId7"/>
    <sheet name="Pivot Table2" sheetId="9" r:id="rId8"/>
  </sheets>
  <definedNames>
    <definedName name="a">Sheet1!$XBP$1</definedName>
    <definedName name="total" localSheetId="0">Sheet1!$D$12</definedName>
    <definedName name="total">Sheet1!$D$12</definedName>
    <definedName name="Year_email_total">Sheet1!$B$14</definedName>
    <definedName name="Year_SR">Sheet1!$C$14</definedName>
  </definedNames>
  <calcPr calcId="191029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E13" i="4" l="1"/>
  <c r="F13" i="4" s="1"/>
  <c r="E14" i="4"/>
  <c r="F14" i="4" s="1"/>
  <c r="E15" i="4"/>
  <c r="F15" i="4" s="1"/>
  <c r="E16" i="4"/>
  <c r="F16" i="4" s="1"/>
  <c r="E17" i="4"/>
  <c r="F17" i="4" s="1"/>
  <c r="E18" i="4"/>
  <c r="F18" i="4" s="1"/>
  <c r="E19" i="4"/>
  <c r="F19" i="4" s="1"/>
  <c r="E20" i="4"/>
  <c r="F20" i="4" s="1"/>
  <c r="E21" i="4"/>
  <c r="F21" i="4" s="1"/>
  <c r="E12" i="4"/>
  <c r="F12" i="4" s="1"/>
  <c r="D19" i="1"/>
  <c r="D20" i="1"/>
  <c r="D21" i="1"/>
  <c r="D22" i="1"/>
  <c r="D23" i="1"/>
  <c r="B24" i="1"/>
  <c r="D11" i="5"/>
  <c r="D4" i="5"/>
  <c r="D5" i="5"/>
  <c r="D6" i="5"/>
  <c r="D7" i="5"/>
  <c r="D8" i="5"/>
  <c r="D9" i="5"/>
  <c r="D10" i="5"/>
  <c r="B15" i="1"/>
  <c r="C15" i="1"/>
  <c r="D15" i="1"/>
  <c r="E15" i="1"/>
  <c r="F4" i="6"/>
  <c r="F2" i="4"/>
  <c r="G7" i="1"/>
  <c r="F9" i="6"/>
  <c r="F3" i="6"/>
  <c r="F5" i="6"/>
  <c r="F6" i="6"/>
  <c r="F7" i="6"/>
  <c r="F8" i="6"/>
  <c r="F2" i="6"/>
  <c r="C19" i="5"/>
  <c r="D19" i="5"/>
  <c r="E19" i="5"/>
  <c r="C20" i="5"/>
  <c r="D20" i="5"/>
  <c r="E20" i="5"/>
  <c r="C21" i="5"/>
  <c r="D21" i="5"/>
  <c r="E21" i="5"/>
  <c r="E2" i="5"/>
  <c r="E3" i="5"/>
  <c r="B14" i="5"/>
  <c r="D2" i="5"/>
  <c r="D3" i="5"/>
  <c r="C13" i="5"/>
  <c r="B13" i="5"/>
  <c r="C12" i="5"/>
  <c r="B12" i="5"/>
  <c r="E3" i="4"/>
  <c r="E4" i="4"/>
  <c r="E5" i="4"/>
  <c r="E6" i="4"/>
  <c r="E2" i="4"/>
  <c r="D7" i="4"/>
  <c r="D8" i="4" s="1"/>
  <c r="F3" i="4"/>
  <c r="F4" i="4"/>
  <c r="F5" i="4"/>
  <c r="F6" i="4"/>
  <c r="B14" i="1"/>
  <c r="D14" i="1"/>
  <c r="E14" i="1"/>
  <c r="C14" i="1"/>
  <c r="E18" i="5" l="1"/>
  <c r="C18" i="5"/>
  <c r="D18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tc={F4BB537A-B2D5-45DD-B4C0-D3AE3EF1F867}</author>
    <author>Leen Adel</author>
  </authors>
  <commentList>
    <comment ref="A5" authorId="0" shapeId="0" xr:uid="{F4BB537A-B2D5-45DD-B4C0-D3AE3EF1F867}">
      <text>
        <t>[Threaded comment]
Your version of Excel allows you to read this threaded comment; however, any edits to it will get removed if the file is opened in a newer version of Excel. Learn more: https://go.microsoft.com/fwlink/?linkid=870924
Comment:
    using data validation to insure entering one form of date</t>
      </text>
    </comment>
    <comment ref="A6" authorId="1" shapeId="0" xr:uid="{BB099419-89A9-4C21-921D-4D6FD28F6D56}">
      <text>
        <r>
          <rPr>
            <b/>
            <sz val="9"/>
            <color indexed="81"/>
            <rFont val="Tahoma"/>
            <family val="2"/>
          </rPr>
          <t>Leen Adel:</t>
        </r>
        <r>
          <rPr>
            <sz val="9"/>
            <color indexed="81"/>
            <rFont val="Tahoma"/>
            <family val="2"/>
          </rPr>
          <t xml:space="preserve">
using data validation to insure entering one form of date</t>
        </r>
      </text>
    </comment>
  </commentList>
</comments>
</file>

<file path=xl/sharedStrings.xml><?xml version="1.0" encoding="utf-8"?>
<sst xmlns="http://schemas.openxmlformats.org/spreadsheetml/2006/main" count="224" uniqueCount="175">
  <si>
    <t>Month</t>
  </si>
  <si>
    <t>Email Respondents</t>
  </si>
  <si>
    <t>Satisfied Respondents</t>
  </si>
  <si>
    <t>Monthly Revenue</t>
  </si>
  <si>
    <t>Monthly Cost</t>
  </si>
  <si>
    <t xml:space="preserve">Jan </t>
  </si>
  <si>
    <t xml:space="preserve">Feb </t>
  </si>
  <si>
    <t xml:space="preserve">Apr </t>
  </si>
  <si>
    <t xml:space="preserve">May </t>
  </si>
  <si>
    <t xml:space="preserve">Jul </t>
  </si>
  <si>
    <t xml:space="preserve">Aug </t>
  </si>
  <si>
    <t xml:space="preserve">Sep </t>
  </si>
  <si>
    <t xml:space="preserve">Oct </t>
  </si>
  <si>
    <t xml:space="preserve">Nov </t>
  </si>
  <si>
    <t xml:space="preserve">Dec </t>
  </si>
  <si>
    <t xml:space="preserve">15400	</t>
  </si>
  <si>
    <t xml:space="preserve">16200	</t>
  </si>
  <si>
    <t xml:space="preserve">16800	</t>
  </si>
  <si>
    <t>Year</t>
  </si>
  <si>
    <t>Product</t>
  </si>
  <si>
    <t>Quantity Sold</t>
  </si>
  <si>
    <t>Unit Price</t>
  </si>
  <si>
    <t>Total Revenue</t>
  </si>
  <si>
    <t>A</t>
  </si>
  <si>
    <t>B</t>
  </si>
  <si>
    <t>C</t>
  </si>
  <si>
    <t>D</t>
  </si>
  <si>
    <t>E</t>
  </si>
  <si>
    <t>Total</t>
  </si>
  <si>
    <t>Date</t>
  </si>
  <si>
    <t>Title</t>
  </si>
  <si>
    <t>Author</t>
  </si>
  <si>
    <t>Units Sold</t>
  </si>
  <si>
    <t>Price</t>
  </si>
  <si>
    <t>The Silent Library</t>
  </si>
  <si>
    <t>Jane Abbott</t>
  </si>
  <si>
    <t>Code of the Ancients</t>
  </si>
  <si>
    <t>Leo Zhang</t>
  </si>
  <si>
    <t>Mindful Moments</t>
  </si>
  <si>
    <t>Sara Patel</t>
  </si>
  <si>
    <t>The Dusk Pact</t>
  </si>
  <si>
    <t>Ava Moreno</t>
  </si>
  <si>
    <t>Productivity Unlocked</t>
  </si>
  <si>
    <t>James Yu</t>
  </si>
  <si>
    <t>Store</t>
  </si>
  <si>
    <t>Downtown</t>
  </si>
  <si>
    <t>Mar</t>
  </si>
  <si>
    <t>First Name</t>
  </si>
  <si>
    <t>Last Name</t>
  </si>
  <si>
    <t>City</t>
  </si>
  <si>
    <t>State</t>
  </si>
  <si>
    <t>Ava</t>
  </si>
  <si>
    <t>Johnson</t>
  </si>
  <si>
    <t>Dallas</t>
  </si>
  <si>
    <t>TX</t>
  </si>
  <si>
    <t>Noah</t>
  </si>
  <si>
    <t>Smith</t>
  </si>
  <si>
    <t>Seattle</t>
  </si>
  <si>
    <t>WA</t>
  </si>
  <si>
    <t>Mia</t>
  </si>
  <si>
    <t>Brown</t>
  </si>
  <si>
    <t>Chicago</t>
  </si>
  <si>
    <t>IL</t>
  </si>
  <si>
    <t>Liam</t>
  </si>
  <si>
    <t>Davis</t>
  </si>
  <si>
    <t>Atlanta</t>
  </si>
  <si>
    <t>GA</t>
  </si>
  <si>
    <t>Emma</t>
  </si>
  <si>
    <t>Wilson</t>
  </si>
  <si>
    <t>Denver</t>
  </si>
  <si>
    <t>CO</t>
  </si>
  <si>
    <t>Olivia</t>
  </si>
  <si>
    <t>Martin</t>
  </si>
  <si>
    <t>Phoenix</t>
  </si>
  <si>
    <t>AZ</t>
  </si>
  <si>
    <t>Elijah</t>
  </si>
  <si>
    <t>Clark</t>
  </si>
  <si>
    <t>Boston</t>
  </si>
  <si>
    <t>MA</t>
  </si>
  <si>
    <t>Sophia</t>
  </si>
  <si>
    <t>Lewis</t>
  </si>
  <si>
    <t>Miami</t>
  </si>
  <si>
    <t>FL</t>
  </si>
  <si>
    <t>James</t>
  </si>
  <si>
    <t>Walker</t>
  </si>
  <si>
    <t>Austin</t>
  </si>
  <si>
    <t>Isabella</t>
  </si>
  <si>
    <t>Hall</t>
  </si>
  <si>
    <t>Portland</t>
  </si>
  <si>
    <t>OR</t>
  </si>
  <si>
    <t>Alice</t>
  </si>
  <si>
    <t>New York</t>
  </si>
  <si>
    <t>bob</t>
  </si>
  <si>
    <t>johnson</t>
  </si>
  <si>
    <t>los angeles</t>
  </si>
  <si>
    <t>CLARA</t>
  </si>
  <si>
    <t>LI</t>
  </si>
  <si>
    <t>SAN FRANCISCO</t>
  </si>
  <si>
    <t>Daniel</t>
  </si>
  <si>
    <t>Rivera</t>
  </si>
  <si>
    <t>Rio de Janeiro</t>
  </si>
  <si>
    <t>Elena</t>
  </si>
  <si>
    <t>murphy</t>
  </si>
  <si>
    <t>san Juan</t>
  </si>
  <si>
    <t>Location</t>
  </si>
  <si>
    <t>Rating</t>
  </si>
  <si>
    <t>Employee</t>
  </si>
  <si>
    <t>Hours Worked</t>
  </si>
  <si>
    <t>Tasks Completed</t>
  </si>
  <si>
    <t>Ben</t>
  </si>
  <si>
    <t>Carla</t>
  </si>
  <si>
    <t>Dan</t>
  </si>
  <si>
    <t>Eva</t>
  </si>
  <si>
    <t>Felix</t>
  </si>
  <si>
    <t>Grace</t>
  </si>
  <si>
    <t>Hugo</t>
  </si>
  <si>
    <t>Iris</t>
  </si>
  <si>
    <t>Jake</t>
  </si>
  <si>
    <t>Average</t>
  </si>
  <si>
    <t>Max</t>
  </si>
  <si>
    <t>Event</t>
  </si>
  <si>
    <t>Day</t>
  </si>
  <si>
    <t>Spring Festival</t>
  </si>
  <si>
    <t>Summer Kickoff</t>
  </si>
  <si>
    <t>Fall Mixer</t>
  </si>
  <si>
    <t>Winter Wrap-Up</t>
  </si>
  <si>
    <t>Yamada</t>
  </si>
  <si>
    <t>Keiko</t>
  </si>
  <si>
    <t>Ito</t>
  </si>
  <si>
    <t>Daichi</t>
  </si>
  <si>
    <t>Tanaka</t>
  </si>
  <si>
    <t>Ayumi</t>
  </si>
  <si>
    <t>Coordinator first name</t>
  </si>
  <si>
    <t>Employee ID</t>
  </si>
  <si>
    <t>Name</t>
  </si>
  <si>
    <t>Dept Code</t>
  </si>
  <si>
    <t>Level</t>
  </si>
  <si>
    <t>Salary</t>
  </si>
  <si>
    <t>Alice Park</t>
  </si>
  <si>
    <t>MKT</t>
  </si>
  <si>
    <t>Mid</t>
  </si>
  <si>
    <t>Brian Lee</t>
  </si>
  <si>
    <t>ENG</t>
  </si>
  <si>
    <t>Senior</t>
  </si>
  <si>
    <t>Carla Diaz</t>
  </si>
  <si>
    <t>Entry</t>
  </si>
  <si>
    <t>Daniel Cho</t>
  </si>
  <si>
    <t>HR</t>
  </si>
  <si>
    <t>Eva Patel</t>
  </si>
  <si>
    <t>Fiona Zhang</t>
  </si>
  <si>
    <t>Executive</t>
  </si>
  <si>
    <t>George Kim</t>
  </si>
  <si>
    <t>Hannah Li</t>
  </si>
  <si>
    <t>Department Name</t>
  </si>
  <si>
    <t>Marketing</t>
  </si>
  <si>
    <t>Engineering</t>
  </si>
  <si>
    <t>Human Resources</t>
  </si>
  <si>
    <t>Grand Total</t>
  </si>
  <si>
    <t>Count of Employee ID</t>
  </si>
  <si>
    <t>Sum of Salary</t>
  </si>
  <si>
    <t>Using "Proper" Formula</t>
  </si>
  <si>
    <t>Using "Left" and "Find Formula</t>
  </si>
  <si>
    <t>Rounded Average</t>
  </si>
  <si>
    <t>Using "Concatenate" Formula</t>
  </si>
  <si>
    <t>Using "Trim" Formula</t>
  </si>
  <si>
    <t>Deparment Name Using "Vlookup"</t>
  </si>
  <si>
    <t>Year Sum</t>
  </si>
  <si>
    <t>Year Average</t>
  </si>
  <si>
    <t>Using Conditional Formatting to spot missing or unfilled data</t>
  </si>
  <si>
    <t>Using "IF" and "Isblank"</t>
  </si>
  <si>
    <t>Finding top proformer by "If" and "and" formula</t>
  </si>
  <si>
    <t>Levels</t>
  </si>
  <si>
    <t>Departments</t>
  </si>
  <si>
    <t>Using Conditional Formatting to spot above 8 tasks completed</t>
  </si>
  <si>
    <t>Using "Texts to Columns"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</si>
</sst>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4"/>
      <color rgb="FF0B0B0B"/>
      <name val="Times New Roman"/>
      <family val="1"/>
    </font>
    <font>
      <sz val="14"/>
      <color rgb="FF0B0B0B"/>
      <name val="Times New Roman"/>
      <family val="1"/>
    </font>
    <font>
      <sz val="14"/>
      <color theme="1"/>
      <name val="Times New Roman"/>
      <family val="1"/>
    </font>
    <font>
      <sz val="14"/>
      <color rgb="FF0B0B0B"/>
      <name val="Times New Roman"/>
      <family val="1"/>
    </font>
    <font>
      <sz val="14"/>
      <color rgb="FF0B0B0B"/>
      <name val="Times New Roman"/>
      <family val="1"/>
    </font>
    <font>
      <sz val="12"/>
      <color rgb="FF0B0B0B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4"/>
      <color theme="1"/>
      <name val="Aptos Narrow"/>
      <family val="2"/>
      <scheme val="minor"/>
    </font>
    <font>
      <sz val="14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5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11">
    <border>
      <left/>
      <right/>
      <top/>
      <bottom/>
      <diagonal/>
    </border>
    <border>
      <left/>
      <right style="medium">
        <color rgb="FFDFDFDF"/>
      </right>
      <top/>
      <bottom style="medium">
        <color rgb="FFDFDFDF"/>
      </bottom>
      <diagonal/>
    </border>
    <border>
      <left style="medium">
        <color rgb="FFDFDFDF"/>
      </left>
      <right style="medium">
        <color rgb="FFDFDFDF"/>
      </right>
      <top style="medium">
        <color rgb="FFDFDFDF"/>
      </top>
      <bottom/>
      <diagonal/>
    </border>
    <border>
      <left/>
      <right style="medium">
        <color rgb="FFDFDFDF"/>
      </right>
      <top style="medium">
        <color rgb="FFDFDFDF"/>
      </top>
      <bottom/>
      <diagonal/>
    </border>
    <border>
      <left style="medium">
        <color rgb="FFDFDFDF"/>
      </left>
      <right style="medium">
        <color rgb="FFDFDFDF"/>
      </right>
      <top/>
      <bottom style="medium">
        <color rgb="FFDFDFDF"/>
      </bottom>
      <diagonal/>
    </border>
    <border>
      <left/>
      <right style="medium">
        <color rgb="FFDFDFDF"/>
      </right>
      <top/>
      <bottom/>
      <diagonal/>
    </border>
    <border>
      <left style="medium">
        <color rgb="FFDFDFDF"/>
      </left>
      <right style="thin">
        <color theme="0" tint="-0.14999847407452621"/>
      </right>
      <top style="medium">
        <color rgb="FFDFDFDF"/>
      </top>
      <bottom style="medium">
        <color rgb="FFDFDFDF"/>
      </bottom>
      <diagonal/>
    </border>
    <border>
      <left style="medium">
        <color rgb="FFDFDFDF"/>
      </left>
      <right style="medium">
        <color rgb="FFDFDFDF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medium">
        <color rgb="FFDFDFDF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left" vertical="center" wrapText="1" indent="1"/>
    </xf>
    <xf numFmtId="0" fontId="3" fillId="3" borderId="1" xfId="0" applyFont="1" applyFill="1" applyBorder="1" applyAlignment="1">
      <alignment horizontal="left" vertical="center" wrapText="1" indent="1"/>
    </xf>
    <xf numFmtId="0" fontId="4" fillId="0" borderId="0" xfId="0" applyFont="1"/>
    <xf numFmtId="0" fontId="3" fillId="3" borderId="1" xfId="0" applyFont="1" applyFill="1" applyBorder="1" applyAlignment="1">
      <alignment horizontal="center" vertical="center" wrapText="1"/>
    </xf>
    <xf numFmtId="14" fontId="3" fillId="3" borderId="1" xfId="0" applyNumberFormat="1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left" vertical="center" wrapText="1" indent="1"/>
    </xf>
    <xf numFmtId="14" fontId="2" fillId="3" borderId="1" xfId="0" applyNumberFormat="1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14" fontId="0" fillId="0" borderId="0" xfId="0" applyNumberFormat="1"/>
    <xf numFmtId="0" fontId="4" fillId="0" borderId="0" xfId="0" pivotButton="1" applyFont="1"/>
    <xf numFmtId="0" fontId="4" fillId="0" borderId="0" xfId="0" applyFont="1" applyAlignment="1">
      <alignment horizontal="left"/>
    </xf>
    <xf numFmtId="0" fontId="2" fillId="4" borderId="5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 indent="1"/>
    </xf>
    <xf numFmtId="14" fontId="3" fillId="2" borderId="4" xfId="0" applyNumberFormat="1" applyFont="1" applyFill="1" applyBorder="1" applyAlignment="1">
      <alignment horizontal="center" vertical="center" wrapText="1"/>
    </xf>
    <xf numFmtId="0" fontId="4" fillId="0" borderId="0" xfId="0" applyFont="1" applyFill="1"/>
    <xf numFmtId="0" fontId="10" fillId="0" borderId="0" xfId="0" applyFont="1"/>
    <xf numFmtId="0" fontId="2" fillId="5" borderId="1" xfId="0" applyFont="1" applyFill="1" applyBorder="1" applyAlignment="1">
      <alignment horizontal="left" vertical="center" wrapText="1" indent="1"/>
    </xf>
    <xf numFmtId="0" fontId="6" fillId="4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left" vertical="center" wrapText="1" indent="1"/>
    </xf>
    <xf numFmtId="0" fontId="2" fillId="3" borderId="7" xfId="0" applyFont="1" applyFill="1" applyBorder="1" applyAlignment="1">
      <alignment horizontal="left" vertical="center" wrapText="1" indent="1"/>
    </xf>
    <xf numFmtId="0" fontId="2" fillId="3" borderId="10" xfId="0" applyFont="1" applyFill="1" applyBorder="1" applyAlignment="1">
      <alignment horizontal="left" vertical="center" wrapText="1" indent="1"/>
    </xf>
    <xf numFmtId="0" fontId="2" fillId="3" borderId="9" xfId="0" applyFont="1" applyFill="1" applyBorder="1" applyAlignment="1">
      <alignment horizontal="left" vertical="center" wrapText="1" indent="1"/>
    </xf>
    <xf numFmtId="0" fontId="11" fillId="2" borderId="8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47">
    <dxf>
      <fill>
        <patternFill>
          <fgColor theme="5" tint="0.39994506668294322"/>
          <bgColor theme="5" tint="0.39994506668294322"/>
        </patternFill>
      </fill>
    </dxf>
    <dxf>
      <fill>
        <patternFill>
          <fgColor theme="5" tint="0.39994506668294322"/>
          <bgColor theme="5" tint="0.39994506668294322"/>
        </patternFill>
      </fill>
    </dxf>
    <dxf>
      <font>
        <color auto="1"/>
      </font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fgColor theme="5" tint="0.39994506668294322"/>
          <bgColor theme="5" tint="0.39994506668294322"/>
        </patternFill>
      </fill>
    </dxf>
    <dxf>
      <fill>
        <patternFill>
          <fgColor theme="5" tint="0.39994506668294322"/>
          <bgColor theme="5" tint="0.39994506668294322"/>
        </patternFill>
      </fill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een Adel" id="{BA6072E7-7FBD-42C8-88CF-928B39DA4134}" userId="1bd4212d5b8df7fc" providerId="Windows Liv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en Adel" refreshedDate="46258.896014930557" createdVersion="8" refreshedVersion="8" minRefreshableVersion="3" recordCount="8" xr:uid="{1E994FDD-A629-4BAA-9138-04DAFE019F1F}">
  <cacheSource type="worksheet">
    <worksheetSource ref="A1:F9" sheet="Employee Data"/>
  </cacheSource>
  <cacheFields count="6">
    <cacheField name="Employee ID" numFmtId="0">
      <sharedItems containsSemiMixedTypes="0" containsString="0" containsNumber="1" containsInteger="1" minValue="101" maxValue="108"/>
    </cacheField>
    <cacheField name="Name" numFmtId="0">
      <sharedItems count="8">
        <s v="Alice Park"/>
        <s v="Brian Lee"/>
        <s v="Carla Diaz"/>
        <s v="Daniel Cho"/>
        <s v="Eva Patel"/>
        <s v="Fiona Zhang"/>
        <s v="George Kim"/>
        <s v="Hannah Li"/>
      </sharedItems>
    </cacheField>
    <cacheField name="Dept Code" numFmtId="0">
      <sharedItems/>
    </cacheField>
    <cacheField name="Level" numFmtId="0">
      <sharedItems count="4">
        <s v="Mid"/>
        <s v="Senior"/>
        <s v="Entry"/>
        <s v="Executive"/>
      </sharedItems>
    </cacheField>
    <cacheField name="Salary" numFmtId="0">
      <sharedItems containsSemiMixedTypes="0" containsString="0" containsNumber="1" containsInteger="1" minValue="42000" maxValue="120000"/>
    </cacheField>
    <cacheField name="Deparment Name" numFmtId="0">
      <sharedItems count="3">
        <s v="Marketing"/>
        <s v="Engineering"/>
        <s v="Human Resourc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n v="101"/>
    <x v="0"/>
    <s v="MKT"/>
    <x v="0"/>
    <n v="65000"/>
    <x v="0"/>
  </r>
  <r>
    <n v="102"/>
    <x v="1"/>
    <s v="ENG"/>
    <x v="1"/>
    <n v="95000"/>
    <x v="1"/>
  </r>
  <r>
    <n v="103"/>
    <x v="2"/>
    <s v="MKT"/>
    <x v="2"/>
    <n v="42000"/>
    <x v="0"/>
  </r>
  <r>
    <n v="104"/>
    <x v="3"/>
    <s v="HR"/>
    <x v="0"/>
    <n v="58000"/>
    <x v="2"/>
  </r>
  <r>
    <n v="105"/>
    <x v="4"/>
    <s v="ENG"/>
    <x v="2"/>
    <n v="50000"/>
    <x v="1"/>
  </r>
  <r>
    <n v="106"/>
    <x v="5"/>
    <s v="HR"/>
    <x v="3"/>
    <n v="120000"/>
    <x v="2"/>
  </r>
  <r>
    <n v="107"/>
    <x v="6"/>
    <s v="ENG"/>
    <x v="0"/>
    <n v="72000"/>
    <x v="1"/>
  </r>
  <r>
    <n v="108"/>
    <x v="7"/>
    <s v="MKT"/>
    <x v="1"/>
    <n v="8800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FA2630-EA11-497A-909D-B5A65A02A79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epartment Name" colHeaderCaption="Levels">
  <location ref="A3:F8" firstHeaderRow="1" firstDataRow="2" firstDataCol="1"/>
  <pivotFields count="6">
    <pivotField dataField="1"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axis="axisCol" showAll="0">
      <items count="5">
        <item x="2"/>
        <item x="3"/>
        <item x="0"/>
        <item x="1"/>
        <item t="default"/>
      </items>
    </pivotField>
    <pivotField showAll="0"/>
    <pivotField axis="axisRow" showAll="0">
      <items count="4">
        <item x="1"/>
        <item x="2"/>
        <item x="0"/>
        <item t="default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Count of Employee ID" fld="0" subtotal="count" baseField="3" baseItem="0"/>
  </dataFields>
  <formats count="20">
    <format dxfId="26">
      <pivotArea type="all" dataOnly="0" outline="0" fieldPosition="0"/>
    </format>
    <format dxfId="25">
      <pivotArea outline="0" collapsedLevelsAreSubtotals="1" fieldPosition="0"/>
    </format>
    <format dxfId="24">
      <pivotArea type="origin" dataOnly="0" labelOnly="1" outline="0" fieldPosition="0"/>
    </format>
    <format dxfId="23">
      <pivotArea field="3" type="button" dataOnly="0" labelOnly="1" outline="0" axis="axisCol" fieldPosition="0"/>
    </format>
    <format dxfId="22">
      <pivotArea type="topRight" dataOnly="0" labelOnly="1" outline="0" fieldPosition="0"/>
    </format>
    <format dxfId="21">
      <pivotArea field="5" type="button" dataOnly="0" labelOnly="1" outline="0" axis="axisRow" fieldPosition="0"/>
    </format>
    <format dxfId="20">
      <pivotArea dataOnly="0" labelOnly="1" fieldPosition="0">
        <references count="1">
          <reference field="5" count="0"/>
        </references>
      </pivotArea>
    </format>
    <format dxfId="19">
      <pivotArea dataOnly="0" labelOnly="1" grandRow="1" outline="0" fieldPosition="0"/>
    </format>
    <format dxfId="18">
      <pivotArea dataOnly="0" labelOnly="1" fieldPosition="0">
        <references count="1">
          <reference field="3" count="0"/>
        </references>
      </pivotArea>
    </format>
    <format dxfId="17">
      <pivotArea dataOnly="0" labelOnly="1" grandCol="1" outline="0" fieldPosition="0"/>
    </format>
    <format dxfId="16">
      <pivotArea type="all" dataOnly="0" outline="0" fieldPosition="0"/>
    </format>
    <format dxfId="15">
      <pivotArea outline="0" collapsedLevelsAreSubtotals="1" fieldPosition="0"/>
    </format>
    <format dxfId="14">
      <pivotArea type="origin" dataOnly="0" labelOnly="1" outline="0" fieldPosition="0"/>
    </format>
    <format dxfId="13">
      <pivotArea field="3" type="button" dataOnly="0" labelOnly="1" outline="0" axis="axisCol" fieldPosition="0"/>
    </format>
    <format dxfId="12">
      <pivotArea type="topRight" dataOnly="0" labelOnly="1" outline="0" fieldPosition="0"/>
    </format>
    <format dxfId="11">
      <pivotArea field="5" type="button" dataOnly="0" labelOnly="1" outline="0" axis="axisRow" fieldPosition="0"/>
    </format>
    <format dxfId="10">
      <pivotArea dataOnly="0" labelOnly="1" fieldPosition="0">
        <references count="1">
          <reference field="5" count="0"/>
        </references>
      </pivotArea>
    </format>
    <format dxfId="9">
      <pivotArea dataOnly="0" labelOnly="1" grandRow="1" outline="0" fieldPosition="0"/>
    </format>
    <format dxfId="8">
      <pivotArea dataOnly="0" labelOnly="1" fieldPosition="0">
        <references count="1">
          <reference field="3" count="0"/>
        </references>
      </pivotArea>
    </format>
    <format dxfId="7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E76853-3CB6-4639-AC0D-7670F56F50AB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Level" colHeaderCaption="Departments">
  <location ref="A3:E9" firstHeaderRow="1" firstDataRow="2" firstDataCol="1"/>
  <pivotFields count="6"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dataField="1" showAll="0"/>
    <pivotField axis="axisCol" showAll="0">
      <items count="4">
        <item x="1"/>
        <item x="2"/>
        <item x="0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Sum of Salary" fld="4" baseField="0" baseItem="0"/>
  </dataFields>
  <formats count="20">
    <format dxfId="46">
      <pivotArea type="all" dataOnly="0" outline="0" fieldPosition="0"/>
    </format>
    <format dxfId="45">
      <pivotArea outline="0" collapsedLevelsAreSubtotals="1" fieldPosition="0"/>
    </format>
    <format dxfId="44">
      <pivotArea type="origin" dataOnly="0" labelOnly="1" outline="0" fieldPosition="0"/>
    </format>
    <format dxfId="43">
      <pivotArea field="5" type="button" dataOnly="0" labelOnly="1" outline="0" axis="axisCol" fieldPosition="0"/>
    </format>
    <format dxfId="42">
      <pivotArea type="topRight" dataOnly="0" labelOnly="1" outline="0" fieldPosition="0"/>
    </format>
    <format dxfId="41">
      <pivotArea field="3" type="button" dataOnly="0" labelOnly="1" outline="0" axis="axisRow" fieldPosition="0"/>
    </format>
    <format dxfId="40">
      <pivotArea dataOnly="0" labelOnly="1" fieldPosition="0">
        <references count="1">
          <reference field="3" count="0"/>
        </references>
      </pivotArea>
    </format>
    <format dxfId="39">
      <pivotArea dataOnly="0" labelOnly="1" grandRow="1" outline="0" fieldPosition="0"/>
    </format>
    <format dxfId="38">
      <pivotArea dataOnly="0" labelOnly="1" fieldPosition="0">
        <references count="1">
          <reference field="5" count="0"/>
        </references>
      </pivotArea>
    </format>
    <format dxfId="37">
      <pivotArea dataOnly="0" labelOnly="1" grandCol="1" outline="0" fieldPosition="0"/>
    </format>
    <format dxfId="36">
      <pivotArea type="all" dataOnly="0" outline="0" fieldPosition="0"/>
    </format>
    <format dxfId="35">
      <pivotArea outline="0" collapsedLevelsAreSubtotals="1" fieldPosition="0"/>
    </format>
    <format dxfId="34">
      <pivotArea type="origin" dataOnly="0" labelOnly="1" outline="0" fieldPosition="0"/>
    </format>
    <format dxfId="33">
      <pivotArea field="5" type="button" dataOnly="0" labelOnly="1" outline="0" axis="axisCol" fieldPosition="0"/>
    </format>
    <format dxfId="32">
      <pivotArea type="topRight" dataOnly="0" labelOnly="1" outline="0" fieldPosition="0"/>
    </format>
    <format dxfId="31">
      <pivotArea field="3" type="button" dataOnly="0" labelOnly="1" outline="0" axis="axisRow" fieldPosition="0"/>
    </format>
    <format dxfId="30">
      <pivotArea dataOnly="0" labelOnly="1" fieldPosition="0">
        <references count="1">
          <reference field="3" count="0"/>
        </references>
      </pivotArea>
    </format>
    <format dxfId="29">
      <pivotArea dataOnly="0" labelOnly="1" grandRow="1" outline="0" fieldPosition="0"/>
    </format>
    <format dxfId="28">
      <pivotArea dataOnly="0" labelOnly="1" fieldPosition="0">
        <references count="1">
          <reference field="5" count="0"/>
        </references>
      </pivotArea>
    </format>
    <format dxfId="27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5" dT="2026-08-25T14:34:58.30" personId="{BA6072E7-7FBD-42C8-88CF-928B39DA4134}" id="{F4BB537A-B2D5-45DD-B4C0-D3AE3EF1F867}">
    <text>using data validation to insure entering one form of date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A0259-1539-44A4-A8D1-8AD98D9B8E13}">
  <dimension ref="A1:G24"/>
  <sheetViews>
    <sheetView workbookViewId="0">
      <selection activeCell="C26" sqref="C26"/>
    </sheetView>
  </sheetViews>
  <sheetFormatPr defaultColWidth="9" defaultRowHeight="15" x14ac:dyDescent="0.25"/>
  <cols>
    <col min="1" max="1" width="15.42578125" style="1" customWidth="1"/>
    <col min="2" max="2" width="23.7109375" style="1" customWidth="1"/>
    <col min="3" max="3" width="25.5703125" style="1" bestFit="1" customWidth="1"/>
    <col min="4" max="4" width="20.28515625" style="1" bestFit="1" customWidth="1"/>
    <col min="5" max="5" width="17.85546875" style="1" customWidth="1"/>
    <col min="6" max="6" width="69.5703125" style="1" bestFit="1" customWidth="1"/>
    <col min="7" max="7" width="12.7109375" style="1" customWidth="1"/>
    <col min="8" max="16384" width="9" style="1"/>
  </cols>
  <sheetData>
    <row r="1" spans="1:7" ht="38.25" thickBot="1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7" ht="19.5" thickBot="1" x14ac:dyDescent="0.3">
      <c r="A2" s="2" t="s">
        <v>5</v>
      </c>
      <c r="B2" s="18">
        <v>125</v>
      </c>
      <c r="C2" s="18">
        <v>85</v>
      </c>
      <c r="D2" s="18">
        <v>12000</v>
      </c>
      <c r="E2" s="18">
        <v>8000</v>
      </c>
    </row>
    <row r="3" spans="1:7" ht="30" customHeight="1" thickBot="1" x14ac:dyDescent="0.3">
      <c r="A3" s="2" t="s">
        <v>6</v>
      </c>
      <c r="B3" s="18">
        <v>140</v>
      </c>
      <c r="C3" s="18">
        <v>98</v>
      </c>
      <c r="D3" s="18">
        <v>13500</v>
      </c>
      <c r="E3" s="18">
        <v>8500</v>
      </c>
      <c r="F3" s="26" t="s">
        <v>168</v>
      </c>
    </row>
    <row r="4" spans="1:7" ht="19.5" thickBot="1" x14ac:dyDescent="0.3">
      <c r="A4" s="2" t="s">
        <v>46</v>
      </c>
      <c r="B4" s="18">
        <v>130</v>
      </c>
      <c r="C4" s="18">
        <v>88</v>
      </c>
      <c r="D4" s="18">
        <v>12800</v>
      </c>
      <c r="E4" s="18">
        <v>8200</v>
      </c>
    </row>
    <row r="5" spans="1:7" ht="19.5" thickBot="1" x14ac:dyDescent="0.3">
      <c r="A5" s="2" t="s">
        <v>7</v>
      </c>
      <c r="B5" s="18">
        <v>150</v>
      </c>
      <c r="C5" s="18">
        <v>105</v>
      </c>
      <c r="D5" s="18">
        <v>14500</v>
      </c>
      <c r="E5" s="18">
        <v>9000</v>
      </c>
    </row>
    <row r="6" spans="1:7" ht="19.5" thickBot="1" x14ac:dyDescent="0.3">
      <c r="A6" s="2" t="s">
        <v>8</v>
      </c>
      <c r="B6" s="18">
        <v>160</v>
      </c>
      <c r="C6" s="18"/>
      <c r="D6" s="18">
        <v>15000</v>
      </c>
      <c r="E6" s="18">
        <v>9400</v>
      </c>
    </row>
    <row r="7" spans="1:7" ht="19.5" thickBot="1" x14ac:dyDescent="0.3">
      <c r="A7" s="2" t="s">
        <v>14</v>
      </c>
      <c r="B7" s="18">
        <v>170</v>
      </c>
      <c r="C7" s="18">
        <v>119</v>
      </c>
      <c r="D7" s="18">
        <v>15800</v>
      </c>
      <c r="E7" s="18">
        <v>9800</v>
      </c>
      <c r="G7" s="1">
        <f>IF(ISBLANK(C6),0,C6)</f>
        <v>0</v>
      </c>
    </row>
    <row r="8" spans="1:7" ht="19.5" thickBot="1" x14ac:dyDescent="0.3">
      <c r="A8" s="2" t="s">
        <v>9</v>
      </c>
      <c r="B8" s="18">
        <v>165</v>
      </c>
      <c r="C8" s="18">
        <v>116</v>
      </c>
      <c r="D8" s="18" t="s">
        <v>15</v>
      </c>
      <c r="E8" s="18">
        <v>9600</v>
      </c>
    </row>
    <row r="9" spans="1:7" ht="19.5" thickBot="1" x14ac:dyDescent="0.3">
      <c r="A9" s="2" t="s">
        <v>10</v>
      </c>
      <c r="B9" s="18">
        <v>175</v>
      </c>
      <c r="C9" s="18">
        <v>123</v>
      </c>
      <c r="D9" s="18" t="s">
        <v>16</v>
      </c>
      <c r="E9" s="18">
        <v>10000</v>
      </c>
    </row>
    <row r="10" spans="1:7" ht="19.5" thickBot="1" x14ac:dyDescent="0.3">
      <c r="A10" s="2" t="s">
        <v>11</v>
      </c>
      <c r="B10" s="18">
        <v>180</v>
      </c>
      <c r="C10" s="18">
        <v>126</v>
      </c>
      <c r="D10" s="18" t="s">
        <v>17</v>
      </c>
      <c r="E10" s="18">
        <v>10300</v>
      </c>
    </row>
    <row r="11" spans="1:7" ht="19.5" thickBot="1" x14ac:dyDescent="0.3">
      <c r="A11" s="2" t="s">
        <v>12</v>
      </c>
      <c r="B11" s="18">
        <v>190</v>
      </c>
      <c r="C11" s="18">
        <v>133</v>
      </c>
      <c r="D11" s="18">
        <v>17500</v>
      </c>
      <c r="E11" s="18">
        <v>10700</v>
      </c>
    </row>
    <row r="12" spans="1:7" ht="19.5" thickBot="1" x14ac:dyDescent="0.3">
      <c r="A12" s="2" t="s">
        <v>13</v>
      </c>
      <c r="B12" s="18">
        <v>200</v>
      </c>
      <c r="C12" s="18">
        <v>140</v>
      </c>
      <c r="D12" s="18">
        <v>18200</v>
      </c>
      <c r="E12" s="18">
        <v>11100</v>
      </c>
    </row>
    <row r="13" spans="1:7" ht="19.5" thickBot="1" x14ac:dyDescent="0.3">
      <c r="A13" s="2" t="s">
        <v>14</v>
      </c>
      <c r="B13" s="18">
        <v>210</v>
      </c>
      <c r="C13" s="18">
        <v>147</v>
      </c>
      <c r="D13" s="18">
        <v>19000</v>
      </c>
      <c r="E13" s="18">
        <v>11600</v>
      </c>
    </row>
    <row r="14" spans="1:7" ht="19.5" thickBot="1" x14ac:dyDescent="0.3">
      <c r="A14" s="25" t="s">
        <v>166</v>
      </c>
      <c r="B14" s="25">
        <f>SUM(B2:B13)</f>
        <v>1995</v>
      </c>
      <c r="C14" s="25">
        <f>SUM(C2:C13)</f>
        <v>1280</v>
      </c>
      <c r="D14" s="25">
        <f t="shared" ref="D14:E14" si="0">SUM(D2:D13)</f>
        <v>138300</v>
      </c>
      <c r="E14" s="25">
        <f t="shared" si="0"/>
        <v>116200</v>
      </c>
    </row>
    <row r="15" spans="1:7" ht="21.75" customHeight="1" x14ac:dyDescent="0.25">
      <c r="A15" s="25" t="s">
        <v>167</v>
      </c>
      <c r="B15" s="25">
        <f>AVERAGE(B1:B2)</f>
        <v>125</v>
      </c>
      <c r="C15" s="25">
        <f t="shared" ref="C15:E15" si="1">AVERAGE(C2:C13)</f>
        <v>116.36363636363636</v>
      </c>
      <c r="D15" s="25">
        <f t="shared" si="1"/>
        <v>15366.666666666666</v>
      </c>
      <c r="E15" s="25">
        <f t="shared" si="1"/>
        <v>9683.3333333333339</v>
      </c>
    </row>
    <row r="16" spans="1:7" x14ac:dyDescent="0.25">
      <c r="A16"/>
    </row>
    <row r="17" spans="1:4" ht="15.75" thickBot="1" x14ac:dyDescent="0.3"/>
    <row r="18" spans="1:4" ht="18.75" x14ac:dyDescent="0.25">
      <c r="A18" s="2" t="s">
        <v>19</v>
      </c>
      <c r="B18" s="3" t="s">
        <v>20</v>
      </c>
      <c r="C18" s="3" t="s">
        <v>21</v>
      </c>
      <c r="D18" s="3" t="s">
        <v>22</v>
      </c>
    </row>
    <row r="19" spans="1:4" ht="19.5" thickBot="1" x14ac:dyDescent="0.3">
      <c r="A19" s="4" t="s">
        <v>23</v>
      </c>
      <c r="B19" s="5">
        <v>10</v>
      </c>
      <c r="C19" s="5">
        <v>5.99</v>
      </c>
      <c r="D19" s="5">
        <f>B19*C19</f>
        <v>59.900000000000006</v>
      </c>
    </row>
    <row r="20" spans="1:4" ht="19.5" thickBot="1" x14ac:dyDescent="0.3">
      <c r="A20" s="4" t="s">
        <v>24</v>
      </c>
      <c r="B20" s="5">
        <v>15</v>
      </c>
      <c r="C20" s="5">
        <v>7.49</v>
      </c>
      <c r="D20" s="5">
        <f>B20*C20</f>
        <v>112.35000000000001</v>
      </c>
    </row>
    <row r="21" spans="1:4" ht="19.5" thickBot="1" x14ac:dyDescent="0.3">
      <c r="A21" s="4" t="s">
        <v>25</v>
      </c>
      <c r="B21" s="5">
        <v>8</v>
      </c>
      <c r="C21" s="5">
        <v>12.99</v>
      </c>
      <c r="D21" s="5">
        <f>B21*C21</f>
        <v>103.92</v>
      </c>
    </row>
    <row r="22" spans="1:4" ht="19.5" thickBot="1" x14ac:dyDescent="0.3">
      <c r="A22" s="4" t="s">
        <v>26</v>
      </c>
      <c r="B22" s="5">
        <v>25</v>
      </c>
      <c r="C22" s="5">
        <v>4.75</v>
      </c>
      <c r="D22" s="5">
        <f>B22*C22</f>
        <v>118.75</v>
      </c>
    </row>
    <row r="23" spans="1:4" ht="19.5" thickBot="1" x14ac:dyDescent="0.3">
      <c r="A23" s="4" t="s">
        <v>27</v>
      </c>
      <c r="B23" s="4">
        <v>5</v>
      </c>
      <c r="C23" s="5">
        <v>19.989999999999998</v>
      </c>
      <c r="D23" s="5">
        <f>B23*C23</f>
        <v>99.949999999999989</v>
      </c>
    </row>
    <row r="24" spans="1:4" ht="19.5" thickBot="1" x14ac:dyDescent="0.3">
      <c r="A24" s="4" t="s">
        <v>28</v>
      </c>
      <c r="B24" s="4">
        <f>SUM(B19:B23)</f>
        <v>63</v>
      </c>
      <c r="C24"/>
      <c r="D24"/>
    </row>
  </sheetData>
  <phoneticPr fontId="1" type="noConversion"/>
  <conditionalFormatting sqref="B2:E13">
    <cfRule type="containsBlanks" dxfId="6" priority="2">
      <formula>LEN(TRIM(B2))=0</formula>
    </cfRule>
  </conditionalFormatting>
  <conditionalFormatting sqref="F3">
    <cfRule type="containsBlanks" dxfId="5" priority="1">
      <formula>LEN(TRIM(F3))=0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7DAB2-E2F0-4FD4-8FEF-B74FDF978B57}">
  <dimension ref="A1:F7"/>
  <sheetViews>
    <sheetView workbookViewId="0">
      <pane ySplit="1" topLeftCell="A2" activePane="bottomLeft" state="frozen"/>
      <selection pane="bottomLeft" activeCell="C9" sqref="C9"/>
    </sheetView>
  </sheetViews>
  <sheetFormatPr defaultColWidth="9" defaultRowHeight="18.75" x14ac:dyDescent="0.3"/>
  <cols>
    <col min="1" max="1" width="10.42578125" style="6" bestFit="1" customWidth="1"/>
    <col min="2" max="2" width="13" style="6" bestFit="1" customWidth="1"/>
    <col min="3" max="3" width="25.7109375" style="6" customWidth="1"/>
    <col min="4" max="4" width="14.85546875" style="6" bestFit="1" customWidth="1"/>
    <col min="5" max="5" width="13.7109375" style="6" customWidth="1"/>
    <col min="6" max="6" width="9.5703125" style="6" customWidth="1"/>
    <col min="7" max="16384" width="9" style="6"/>
  </cols>
  <sheetData>
    <row r="1" spans="1:6" ht="37.5" x14ac:dyDescent="0.3">
      <c r="A1" s="2" t="s">
        <v>29</v>
      </c>
      <c r="B1" s="3" t="s">
        <v>44</v>
      </c>
      <c r="C1" s="3" t="s">
        <v>30</v>
      </c>
      <c r="D1" s="3" t="s">
        <v>31</v>
      </c>
      <c r="E1" s="3" t="s">
        <v>32</v>
      </c>
      <c r="F1" s="3" t="s">
        <v>33</v>
      </c>
    </row>
    <row r="2" spans="1:6" ht="38.25" thickBot="1" x14ac:dyDescent="0.35">
      <c r="A2" s="27">
        <v>45445</v>
      </c>
      <c r="B2" s="8" t="s">
        <v>45</v>
      </c>
      <c r="C2" s="7" t="s">
        <v>38</v>
      </c>
      <c r="D2" s="7" t="s">
        <v>39</v>
      </c>
      <c r="E2" s="7">
        <v>40</v>
      </c>
      <c r="F2" s="7">
        <v>10</v>
      </c>
    </row>
    <row r="3" spans="1:6" ht="38.25" thickBot="1" x14ac:dyDescent="0.35">
      <c r="A3" s="27">
        <v>45444</v>
      </c>
      <c r="B3" s="8" t="s">
        <v>45</v>
      </c>
      <c r="C3" s="7" t="s">
        <v>34</v>
      </c>
      <c r="D3" s="7" t="s">
        <v>35</v>
      </c>
      <c r="E3" s="7">
        <v>32</v>
      </c>
      <c r="F3" s="7">
        <v>12.99</v>
      </c>
    </row>
    <row r="4" spans="1:6" ht="38.25" thickBot="1" x14ac:dyDescent="0.35">
      <c r="A4" s="27">
        <v>45445</v>
      </c>
      <c r="B4" s="8" t="s">
        <v>45</v>
      </c>
      <c r="C4" s="7" t="s">
        <v>40</v>
      </c>
      <c r="D4" s="7" t="s">
        <v>41</v>
      </c>
      <c r="E4" s="7">
        <v>27</v>
      </c>
      <c r="F4" s="7">
        <v>14.25</v>
      </c>
    </row>
    <row r="5" spans="1:6" ht="38.25" thickBot="1" x14ac:dyDescent="0.35">
      <c r="A5" s="27">
        <v>45446</v>
      </c>
      <c r="B5" s="8" t="s">
        <v>45</v>
      </c>
      <c r="C5" s="7" t="s">
        <v>42</v>
      </c>
      <c r="D5" s="7" t="s">
        <v>43</v>
      </c>
      <c r="E5" s="7">
        <v>22</v>
      </c>
      <c r="F5" s="7">
        <v>11.75</v>
      </c>
    </row>
    <row r="6" spans="1:6" ht="38.25" thickBot="1" x14ac:dyDescent="0.35">
      <c r="A6" s="27">
        <v>45444</v>
      </c>
      <c r="B6" s="8" t="s">
        <v>45</v>
      </c>
      <c r="C6" s="7" t="s">
        <v>36</v>
      </c>
      <c r="D6" s="7" t="s">
        <v>37</v>
      </c>
      <c r="E6" s="7">
        <v>18</v>
      </c>
      <c r="F6" s="7">
        <v>15.5</v>
      </c>
    </row>
    <row r="7" spans="1:6" x14ac:dyDescent="0.3">
      <c r="B7" s="28"/>
    </row>
  </sheetData>
  <sortState xmlns:xlrd2="http://schemas.microsoft.com/office/spreadsheetml/2017/richdata2" ref="A2:F6">
    <sortCondition descending="1" ref="E2:E6"/>
  </sortState>
  <dataConsolidate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32C6E-21BF-4838-9A88-137367AD5191}">
  <dimension ref="A1:F21"/>
  <sheetViews>
    <sheetView workbookViewId="0">
      <selection activeCell="E14" sqref="E14"/>
    </sheetView>
  </sheetViews>
  <sheetFormatPr defaultRowHeight="15" x14ac:dyDescent="0.25"/>
  <cols>
    <col min="1" max="1" width="17" customWidth="1"/>
    <col min="2" max="2" width="18.85546875" customWidth="1"/>
    <col min="3" max="3" width="22.5703125" customWidth="1"/>
    <col min="4" max="4" width="18" customWidth="1"/>
    <col min="5" max="5" width="41.28515625" customWidth="1"/>
    <col min="6" max="6" width="27" customWidth="1"/>
  </cols>
  <sheetData>
    <row r="1" spans="1:6" ht="37.5" x14ac:dyDescent="0.25">
      <c r="A1" s="9" t="s">
        <v>47</v>
      </c>
      <c r="B1" s="10" t="s">
        <v>48</v>
      </c>
      <c r="C1" s="10" t="s">
        <v>104</v>
      </c>
      <c r="D1" s="10" t="s">
        <v>105</v>
      </c>
      <c r="E1" s="3" t="s">
        <v>160</v>
      </c>
      <c r="F1" s="22" t="s">
        <v>161</v>
      </c>
    </row>
    <row r="2" spans="1:6" ht="19.5" thickBot="1" x14ac:dyDescent="0.3">
      <c r="A2" s="11" t="s">
        <v>90</v>
      </c>
      <c r="B2" s="12" t="s">
        <v>56</v>
      </c>
      <c r="C2" s="12" t="s">
        <v>91</v>
      </c>
      <c r="D2" s="12">
        <v>4.0999999999999996</v>
      </c>
      <c r="E2" s="11" t="str">
        <f>PROPER(CONCATENATE(A2," ",B2,))</f>
        <v>Alice Smith</v>
      </c>
      <c r="F2" s="12" t="str">
        <f>LEFT(C2,FIND(" ",C2))</f>
        <v xml:space="preserve">New </v>
      </c>
    </row>
    <row r="3" spans="1:6" ht="19.5" thickBot="1" x14ac:dyDescent="0.3">
      <c r="A3" s="11" t="s">
        <v>92</v>
      </c>
      <c r="B3" s="12" t="s">
        <v>93</v>
      </c>
      <c r="C3" s="12" t="s">
        <v>94</v>
      </c>
      <c r="D3" s="12">
        <v>3.8</v>
      </c>
      <c r="E3" s="11" t="str">
        <f t="shared" ref="E3:E6" si="0">PROPER(CONCATENATE(A3," ",B3,))</f>
        <v>Bob Johnson</v>
      </c>
      <c r="F3" s="12" t="str">
        <f t="shared" ref="F3:F6" si="1">LEFT(C3,FIND(" ",C3))</f>
        <v xml:space="preserve">los </v>
      </c>
    </row>
    <row r="4" spans="1:6" ht="38.25" thickBot="1" x14ac:dyDescent="0.3">
      <c r="A4" s="11" t="s">
        <v>95</v>
      </c>
      <c r="B4" s="12" t="s">
        <v>96</v>
      </c>
      <c r="C4" s="12" t="s">
        <v>97</v>
      </c>
      <c r="D4" s="12">
        <v>4.5999999999999996</v>
      </c>
      <c r="E4" s="11" t="str">
        <f t="shared" si="0"/>
        <v>Clara Li</v>
      </c>
      <c r="F4" s="12" t="str">
        <f t="shared" si="1"/>
        <v xml:space="preserve">SAN </v>
      </c>
    </row>
    <row r="5" spans="1:6" ht="19.5" thickBot="1" x14ac:dyDescent="0.3">
      <c r="A5" s="11" t="s">
        <v>98</v>
      </c>
      <c r="B5" s="12" t="s">
        <v>99</v>
      </c>
      <c r="C5" s="12" t="s">
        <v>100</v>
      </c>
      <c r="D5" s="12">
        <v>4.9000000000000004</v>
      </c>
      <c r="E5" s="11" t="str">
        <f t="shared" si="0"/>
        <v>Daniel Rivera</v>
      </c>
      <c r="F5" s="12" t="str">
        <f t="shared" si="1"/>
        <v xml:space="preserve">Rio </v>
      </c>
    </row>
    <row r="6" spans="1:6" ht="19.5" thickBot="1" x14ac:dyDescent="0.3">
      <c r="A6" s="11" t="s">
        <v>101</v>
      </c>
      <c r="B6" s="12" t="s">
        <v>102</v>
      </c>
      <c r="C6" s="12" t="s">
        <v>103</v>
      </c>
      <c r="D6" s="12">
        <v>3.7</v>
      </c>
      <c r="E6" s="11" t="str">
        <f t="shared" si="0"/>
        <v>Elena Murphy</v>
      </c>
      <c r="F6" s="12" t="str">
        <f t="shared" si="1"/>
        <v xml:space="preserve">san </v>
      </c>
    </row>
    <row r="7" spans="1:6" ht="19.5" thickBot="1" x14ac:dyDescent="0.3">
      <c r="A7" s="12"/>
      <c r="B7" s="12"/>
      <c r="C7" s="10" t="s">
        <v>118</v>
      </c>
      <c r="D7" s="10">
        <f>AVERAGE(D2,D3,D4,D5,D6)</f>
        <v>4.22</v>
      </c>
      <c r="E7" s="11"/>
      <c r="F7" s="12"/>
    </row>
    <row r="8" spans="1:6" ht="19.5" customHeight="1" thickBot="1" x14ac:dyDescent="0.3">
      <c r="A8" s="12"/>
      <c r="B8" s="12"/>
      <c r="C8" s="10" t="s">
        <v>162</v>
      </c>
      <c r="D8" s="10">
        <f>ROUND(D7,1)</f>
        <v>4.2</v>
      </c>
      <c r="E8" s="12"/>
      <c r="F8" s="12"/>
    </row>
    <row r="10" spans="1:6" ht="15.75" thickBot="1" x14ac:dyDescent="0.3"/>
    <row r="11" spans="1:6" ht="18.75" x14ac:dyDescent="0.25">
      <c r="A11" s="9" t="s">
        <v>47</v>
      </c>
      <c r="B11" s="10" t="s">
        <v>48</v>
      </c>
      <c r="C11" s="10" t="s">
        <v>49</v>
      </c>
      <c r="D11" s="10" t="s">
        <v>50</v>
      </c>
      <c r="E11" s="3" t="s">
        <v>163</v>
      </c>
      <c r="F11" s="3" t="s">
        <v>164</v>
      </c>
    </row>
    <row r="12" spans="1:6" ht="16.5" thickBot="1" x14ac:dyDescent="0.3">
      <c r="A12" s="23" t="s">
        <v>51</v>
      </c>
      <c r="B12" s="24" t="s">
        <v>52</v>
      </c>
      <c r="C12" s="23" t="s">
        <v>53</v>
      </c>
      <c r="D12" s="24" t="s">
        <v>54</v>
      </c>
      <c r="E12" s="23" t="str">
        <f>CONCATENATE(A12,"  ",B12,"  "," lives in"," ",C12)</f>
        <v>Ava  Johnson   lives in Dallas</v>
      </c>
      <c r="F12" s="24" t="str">
        <f>TRIM(E12)</f>
        <v>Ava Johnson lives in Dallas</v>
      </c>
    </row>
    <row r="13" spans="1:6" ht="16.5" thickBot="1" x14ac:dyDescent="0.3">
      <c r="A13" s="23" t="s">
        <v>55</v>
      </c>
      <c r="B13" s="24" t="s">
        <v>56</v>
      </c>
      <c r="C13" s="23" t="s">
        <v>57</v>
      </c>
      <c r="D13" s="24" t="s">
        <v>58</v>
      </c>
      <c r="E13" s="23" t="str">
        <f t="shared" ref="E13:E21" si="2">CONCATENATE(A13,"  ",B13,"  "," lives in"," ",C13)</f>
        <v>Noah  Smith   lives in Seattle</v>
      </c>
      <c r="F13" s="24" t="str">
        <f t="shared" ref="F13:F21" si="3">TRIM(E13)</f>
        <v>Noah Smith lives in Seattle</v>
      </c>
    </row>
    <row r="14" spans="1:6" ht="16.5" thickBot="1" x14ac:dyDescent="0.3">
      <c r="A14" s="23" t="s">
        <v>59</v>
      </c>
      <c r="B14" s="24" t="s">
        <v>60</v>
      </c>
      <c r="C14" s="23" t="s">
        <v>61</v>
      </c>
      <c r="D14" s="24" t="s">
        <v>62</v>
      </c>
      <c r="E14" s="23" t="str">
        <f t="shared" si="2"/>
        <v>Mia  Brown   lives in Chicago</v>
      </c>
      <c r="F14" s="24" t="str">
        <f t="shared" si="3"/>
        <v>Mia Brown lives in Chicago</v>
      </c>
    </row>
    <row r="15" spans="1:6" ht="16.5" thickBot="1" x14ac:dyDescent="0.3">
      <c r="A15" s="23" t="s">
        <v>63</v>
      </c>
      <c r="B15" s="24" t="s">
        <v>64</v>
      </c>
      <c r="C15" s="23" t="s">
        <v>65</v>
      </c>
      <c r="D15" s="24" t="s">
        <v>66</v>
      </c>
      <c r="E15" s="23" t="str">
        <f t="shared" si="2"/>
        <v>Liam  Davis   lives in Atlanta</v>
      </c>
      <c r="F15" s="24" t="str">
        <f t="shared" si="3"/>
        <v>Liam Davis lives in Atlanta</v>
      </c>
    </row>
    <row r="16" spans="1:6" ht="16.5" thickBot="1" x14ac:dyDescent="0.3">
      <c r="A16" s="23" t="s">
        <v>67</v>
      </c>
      <c r="B16" s="24" t="s">
        <v>68</v>
      </c>
      <c r="C16" s="23" t="s">
        <v>69</v>
      </c>
      <c r="D16" s="24" t="s">
        <v>70</v>
      </c>
      <c r="E16" s="23" t="str">
        <f t="shared" si="2"/>
        <v>Emma  Wilson   lives in Denver</v>
      </c>
      <c r="F16" s="24" t="str">
        <f t="shared" si="3"/>
        <v>Emma Wilson lives in Denver</v>
      </c>
    </row>
    <row r="17" spans="1:6" ht="16.5" thickBot="1" x14ac:dyDescent="0.3">
      <c r="A17" s="23" t="s">
        <v>71</v>
      </c>
      <c r="B17" s="24" t="s">
        <v>72</v>
      </c>
      <c r="C17" s="23" t="s">
        <v>73</v>
      </c>
      <c r="D17" s="24" t="s">
        <v>74</v>
      </c>
      <c r="E17" s="23" t="str">
        <f t="shared" si="2"/>
        <v>Olivia  Martin   lives in Phoenix</v>
      </c>
      <c r="F17" s="24" t="str">
        <f t="shared" si="3"/>
        <v>Olivia Martin lives in Phoenix</v>
      </c>
    </row>
    <row r="18" spans="1:6" ht="16.5" thickBot="1" x14ac:dyDescent="0.3">
      <c r="A18" s="23" t="s">
        <v>75</v>
      </c>
      <c r="B18" s="24" t="s">
        <v>76</v>
      </c>
      <c r="C18" s="23" t="s">
        <v>77</v>
      </c>
      <c r="D18" s="24" t="s">
        <v>78</v>
      </c>
      <c r="E18" s="23" t="str">
        <f t="shared" si="2"/>
        <v>Elijah  Clark   lives in Boston</v>
      </c>
      <c r="F18" s="24" t="str">
        <f t="shared" si="3"/>
        <v>Elijah Clark lives in Boston</v>
      </c>
    </row>
    <row r="19" spans="1:6" ht="16.5" thickBot="1" x14ac:dyDescent="0.3">
      <c r="A19" s="23" t="s">
        <v>79</v>
      </c>
      <c r="B19" s="24" t="s">
        <v>80</v>
      </c>
      <c r="C19" s="23" t="s">
        <v>81</v>
      </c>
      <c r="D19" s="24" t="s">
        <v>82</v>
      </c>
      <c r="E19" s="23" t="str">
        <f t="shared" si="2"/>
        <v>Sophia  Lewis   lives in Miami</v>
      </c>
      <c r="F19" s="24" t="str">
        <f t="shared" si="3"/>
        <v>Sophia Lewis lives in Miami</v>
      </c>
    </row>
    <row r="20" spans="1:6" ht="16.5" thickBot="1" x14ac:dyDescent="0.3">
      <c r="A20" s="23" t="s">
        <v>83</v>
      </c>
      <c r="B20" s="24" t="s">
        <v>84</v>
      </c>
      <c r="C20" s="23" t="s">
        <v>85</v>
      </c>
      <c r="D20" s="24" t="s">
        <v>54</v>
      </c>
      <c r="E20" s="23" t="str">
        <f t="shared" si="2"/>
        <v>James  Walker   lives in Austin</v>
      </c>
      <c r="F20" s="24" t="str">
        <f t="shared" si="3"/>
        <v>James Walker lives in Austin</v>
      </c>
    </row>
    <row r="21" spans="1:6" ht="16.5" thickBot="1" x14ac:dyDescent="0.3">
      <c r="A21" s="23" t="s">
        <v>86</v>
      </c>
      <c r="B21" s="24" t="s">
        <v>87</v>
      </c>
      <c r="C21" s="23" t="s">
        <v>88</v>
      </c>
      <c r="D21" s="24" t="s">
        <v>89</v>
      </c>
      <c r="E21" s="23" t="str">
        <f t="shared" si="2"/>
        <v>Isabella  Hall   lives in Portland</v>
      </c>
      <c r="F21" s="24" t="str">
        <f t="shared" si="3"/>
        <v>Isabella Hall lives in Portland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F6B6D-BD54-4FE4-B28B-DE23651799EF}">
  <dimension ref="A1:H21"/>
  <sheetViews>
    <sheetView topLeftCell="A2" workbookViewId="0">
      <selection activeCell="F19" sqref="F19"/>
    </sheetView>
  </sheetViews>
  <sheetFormatPr defaultRowHeight="15" x14ac:dyDescent="0.25"/>
  <cols>
    <col min="1" max="1" width="22.42578125" customWidth="1"/>
    <col min="2" max="2" width="19.140625" bestFit="1" customWidth="1"/>
    <col min="3" max="3" width="22.140625" bestFit="1" customWidth="1"/>
    <col min="4" max="4" width="23.7109375" customWidth="1"/>
    <col min="5" max="5" width="14" customWidth="1"/>
    <col min="6" max="7" width="16.140625" customWidth="1"/>
    <col min="8" max="8" width="21.5703125" customWidth="1"/>
    <col min="9" max="9" width="8.5703125" bestFit="1" customWidth="1"/>
    <col min="10" max="10" width="5.28515625" bestFit="1" customWidth="1"/>
    <col min="11" max="11" width="23.140625" bestFit="1" customWidth="1"/>
    <col min="12" max="12" width="18.42578125" bestFit="1" customWidth="1"/>
  </cols>
  <sheetData>
    <row r="1" spans="1:7" ht="75" x14ac:dyDescent="0.3">
      <c r="A1" s="2" t="s">
        <v>106</v>
      </c>
      <c r="B1" s="3" t="s">
        <v>107</v>
      </c>
      <c r="C1" s="3" t="s">
        <v>108</v>
      </c>
      <c r="D1" s="22" t="s">
        <v>170</v>
      </c>
      <c r="E1" s="29"/>
    </row>
    <row r="2" spans="1:7" ht="19.5" thickBot="1" x14ac:dyDescent="0.35">
      <c r="A2" s="16" t="s">
        <v>90</v>
      </c>
      <c r="B2" s="18">
        <v>42</v>
      </c>
      <c r="C2" s="18">
        <v>8</v>
      </c>
      <c r="D2" s="13" t="str">
        <f>IF(AND(B2&gt;40,C2&gt;8), "Yes", "")</f>
        <v/>
      </c>
      <c r="E2" s="29" t="str">
        <f t="shared" ref="E2:E3" si="0">IF(AND(B2&gt;40,C2&gt;8),"yes"," ")</f>
        <v xml:space="preserve"> </v>
      </c>
    </row>
    <row r="3" spans="1:7" ht="19.5" thickBot="1" x14ac:dyDescent="0.35">
      <c r="A3" s="16" t="s">
        <v>109</v>
      </c>
      <c r="B3" s="18">
        <v>36</v>
      </c>
      <c r="C3" s="18">
        <v>5</v>
      </c>
      <c r="D3" s="13" t="str">
        <f t="shared" ref="D3:D11" si="1">IF(AND(B3&gt;40, C3&gt;8), "Yes", "")</f>
        <v/>
      </c>
      <c r="E3" s="29" t="str">
        <f t="shared" si="0"/>
        <v xml:space="preserve"> </v>
      </c>
    </row>
    <row r="4" spans="1:7" ht="19.5" thickBot="1" x14ac:dyDescent="0.35">
      <c r="A4" s="16" t="s">
        <v>110</v>
      </c>
      <c r="B4" s="18">
        <v>45</v>
      </c>
      <c r="C4" s="18">
        <v>10</v>
      </c>
      <c r="D4" s="13" t="str">
        <f t="shared" si="1"/>
        <v>Yes</v>
      </c>
      <c r="E4" s="29"/>
    </row>
    <row r="5" spans="1:7" ht="19.5" thickBot="1" x14ac:dyDescent="0.35">
      <c r="A5" s="16" t="s">
        <v>111</v>
      </c>
      <c r="B5" s="18">
        <v>30</v>
      </c>
      <c r="C5" s="18">
        <v>4</v>
      </c>
      <c r="D5" s="13" t="str">
        <f t="shared" si="1"/>
        <v/>
      </c>
      <c r="E5" s="29"/>
    </row>
    <row r="6" spans="1:7" ht="19.5" thickBot="1" x14ac:dyDescent="0.35">
      <c r="A6" s="16" t="s">
        <v>112</v>
      </c>
      <c r="B6" s="18"/>
      <c r="C6" s="18">
        <v>6</v>
      </c>
      <c r="D6" s="13" t="str">
        <f t="shared" si="1"/>
        <v/>
      </c>
      <c r="E6" s="29"/>
    </row>
    <row r="7" spans="1:7" ht="19.5" thickBot="1" x14ac:dyDescent="0.35">
      <c r="A7" s="16" t="s">
        <v>113</v>
      </c>
      <c r="B7" s="18">
        <v>50</v>
      </c>
      <c r="C7" s="18">
        <v>12</v>
      </c>
      <c r="D7" s="13" t="str">
        <f t="shared" si="1"/>
        <v>Yes</v>
      </c>
      <c r="E7" s="29"/>
    </row>
    <row r="8" spans="1:7" ht="19.5" thickBot="1" x14ac:dyDescent="0.35">
      <c r="A8" s="16" t="s">
        <v>114</v>
      </c>
      <c r="B8" s="18">
        <v>38</v>
      </c>
      <c r="C8" s="18">
        <v>6</v>
      </c>
      <c r="D8" s="13" t="str">
        <f t="shared" si="1"/>
        <v/>
      </c>
      <c r="E8" s="29"/>
    </row>
    <row r="9" spans="1:7" ht="19.5" thickBot="1" x14ac:dyDescent="0.35">
      <c r="A9" s="16" t="s">
        <v>115</v>
      </c>
      <c r="B9" s="18">
        <v>40</v>
      </c>
      <c r="C9" s="18"/>
      <c r="D9" s="13" t="str">
        <f t="shared" si="1"/>
        <v/>
      </c>
      <c r="E9" s="29"/>
    </row>
    <row r="10" spans="1:7" ht="19.5" thickBot="1" x14ac:dyDescent="0.35">
      <c r="A10" s="16" t="s">
        <v>116</v>
      </c>
      <c r="B10" s="18">
        <v>44</v>
      </c>
      <c r="C10" s="18">
        <v>9</v>
      </c>
      <c r="D10" s="13" t="str">
        <f t="shared" si="1"/>
        <v>Yes</v>
      </c>
      <c r="E10" s="29"/>
    </row>
    <row r="11" spans="1:7" ht="19.5" thickBot="1" x14ac:dyDescent="0.35">
      <c r="A11" s="16" t="s">
        <v>117</v>
      </c>
      <c r="B11" s="18">
        <v>29</v>
      </c>
      <c r="C11" s="18">
        <v>3</v>
      </c>
      <c r="D11" s="13" t="str">
        <f t="shared" si="1"/>
        <v/>
      </c>
      <c r="E11" s="29"/>
    </row>
    <row r="12" spans="1:7" ht="19.5" thickBot="1" x14ac:dyDescent="0.35">
      <c r="A12" s="2" t="s">
        <v>118</v>
      </c>
      <c r="B12" s="2">
        <f>AVERAGE(B2:B11)</f>
        <v>39.333333333333336</v>
      </c>
      <c r="C12" s="2">
        <f>AVERAGE(C2:C11)</f>
        <v>7</v>
      </c>
      <c r="D12" s="2"/>
      <c r="E12" s="29"/>
    </row>
    <row r="13" spans="1:7" ht="91.5" customHeight="1" thickBot="1" x14ac:dyDescent="0.35">
      <c r="A13" s="2" t="s">
        <v>119</v>
      </c>
      <c r="B13" s="2">
        <f>MAX(B2:B11)</f>
        <v>50</v>
      </c>
      <c r="C13" s="2">
        <f>MAX(C2:C11)</f>
        <v>12</v>
      </c>
      <c r="D13" s="30" t="s">
        <v>173</v>
      </c>
      <c r="E13" s="29"/>
    </row>
    <row r="14" spans="1:7" ht="78.75" customHeight="1" thickBot="1" x14ac:dyDescent="0.35">
      <c r="A14" s="2" t="s">
        <v>169</v>
      </c>
      <c r="B14" s="2">
        <f>IF(ISBLANK(B6),40,B6)</f>
        <v>40</v>
      </c>
      <c r="C14" s="2"/>
      <c r="D14" s="26" t="s">
        <v>168</v>
      </c>
      <c r="E14" s="29"/>
    </row>
    <row r="15" spans="1:7" ht="18.75" x14ac:dyDescent="0.25">
      <c r="F15" s="34"/>
      <c r="G15" s="35"/>
    </row>
    <row r="16" spans="1:7" ht="38.25" customHeight="1" thickBot="1" x14ac:dyDescent="0.3">
      <c r="F16" s="36" t="s">
        <v>174</v>
      </c>
      <c r="G16" s="37"/>
    </row>
    <row r="17" spans="1:8" ht="37.5" x14ac:dyDescent="0.25">
      <c r="A17" s="14" t="s">
        <v>120</v>
      </c>
      <c r="B17" s="15" t="s">
        <v>29</v>
      </c>
      <c r="C17" s="15" t="s">
        <v>18</v>
      </c>
      <c r="D17" s="15" t="s">
        <v>0</v>
      </c>
      <c r="E17" s="15" t="s">
        <v>121</v>
      </c>
      <c r="F17" s="31" t="s">
        <v>132</v>
      </c>
      <c r="G17" s="31" t="s">
        <v>48</v>
      </c>
    </row>
    <row r="18" spans="1:8" ht="19.5" thickBot="1" x14ac:dyDescent="0.3">
      <c r="A18" s="16" t="s">
        <v>122</v>
      </c>
      <c r="B18" s="17">
        <v>45757</v>
      </c>
      <c r="C18" s="18">
        <f>YEAR(B18)</f>
        <v>2025</v>
      </c>
      <c r="D18" s="33">
        <f>MONTH(B18)</f>
        <v>4</v>
      </c>
      <c r="E18" s="18">
        <f>DAY(B18)</f>
        <v>10</v>
      </c>
      <c r="F18" s="18" t="s">
        <v>126</v>
      </c>
      <c r="G18" s="18" t="s">
        <v>127</v>
      </c>
      <c r="H18" s="19"/>
    </row>
    <row r="19" spans="1:8" ht="19.5" thickBot="1" x14ac:dyDescent="0.3">
      <c r="A19" s="16" t="s">
        <v>123</v>
      </c>
      <c r="B19" s="17">
        <v>45828</v>
      </c>
      <c r="C19" s="18">
        <f>YEAR(B19)</f>
        <v>2025</v>
      </c>
      <c r="D19" s="18">
        <f>MONTH(B19)</f>
        <v>6</v>
      </c>
      <c r="E19" s="32">
        <f>DAY(B19)</f>
        <v>20</v>
      </c>
      <c r="F19" s="18" t="s">
        <v>128</v>
      </c>
      <c r="G19" s="18" t="s">
        <v>129</v>
      </c>
      <c r="H19" s="19"/>
    </row>
    <row r="20" spans="1:8" ht="19.5" thickBot="1" x14ac:dyDescent="0.3">
      <c r="A20" s="16" t="s">
        <v>124</v>
      </c>
      <c r="B20" s="17">
        <v>45935</v>
      </c>
      <c r="C20" s="18">
        <f>YEAR(B20)</f>
        <v>2025</v>
      </c>
      <c r="D20" s="18">
        <f>MONTH(B20)</f>
        <v>10</v>
      </c>
      <c r="E20" s="18">
        <f>DAY(B20)</f>
        <v>5</v>
      </c>
      <c r="F20" s="18" t="s">
        <v>126</v>
      </c>
      <c r="G20" s="18" t="s">
        <v>127</v>
      </c>
      <c r="H20" s="19"/>
    </row>
    <row r="21" spans="1:8" ht="38.25" thickBot="1" x14ac:dyDescent="0.3">
      <c r="A21" s="16" t="s">
        <v>125</v>
      </c>
      <c r="B21" s="17">
        <v>46006</v>
      </c>
      <c r="C21" s="18">
        <f>YEAR(B21)</f>
        <v>2025</v>
      </c>
      <c r="D21" s="18">
        <f>MONTH(B21)</f>
        <v>12</v>
      </c>
      <c r="E21" s="18">
        <f>DAY(B21)</f>
        <v>15</v>
      </c>
      <c r="F21" s="18" t="s">
        <v>130</v>
      </c>
      <c r="G21" s="18" t="s">
        <v>131</v>
      </c>
      <c r="H21" s="19"/>
    </row>
  </sheetData>
  <mergeCells count="1">
    <mergeCell ref="F16:G16"/>
  </mergeCells>
  <conditionalFormatting sqref="B5">
    <cfRule type="containsBlanks" dxfId="4" priority="7">
      <formula>LEN(TRIM(B5))=0</formula>
    </cfRule>
  </conditionalFormatting>
  <conditionalFormatting sqref="B2:C11">
    <cfRule type="containsBlanks" dxfId="3" priority="6">
      <formula>LEN(TRIM(B2))=0</formula>
    </cfRule>
  </conditionalFormatting>
  <conditionalFormatting sqref="C2:C11">
    <cfRule type="cellIs" dxfId="2" priority="3" operator="greaterThan">
      <formula>8</formula>
    </cfRule>
  </conditionalFormatting>
  <conditionalFormatting sqref="D14">
    <cfRule type="containsBlanks" dxfId="1" priority="2">
      <formula>LEN(TRIM(D14))=0</formula>
    </cfRule>
  </conditionalFormatting>
  <conditionalFormatting sqref="D13">
    <cfRule type="containsBlanks" dxfId="0" priority="1">
      <formula>LEN(TRIM(D13))=0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5D97B-35C8-45B4-B3E4-A073C4F3B34F}">
  <dimension ref="A1:F9"/>
  <sheetViews>
    <sheetView workbookViewId="0">
      <selection activeCell="F1" sqref="F1"/>
    </sheetView>
  </sheetViews>
  <sheetFormatPr defaultRowHeight="15" x14ac:dyDescent="0.25"/>
  <cols>
    <col min="1" max="1" width="18.7109375" bestFit="1" customWidth="1"/>
    <col min="2" max="2" width="17.7109375" bestFit="1" customWidth="1"/>
    <col min="3" max="3" width="15.42578125" bestFit="1" customWidth="1"/>
    <col min="4" max="4" width="14.5703125" bestFit="1" customWidth="1"/>
    <col min="5" max="5" width="12" bestFit="1" customWidth="1"/>
    <col min="6" max="6" width="42.85546875" customWidth="1"/>
  </cols>
  <sheetData>
    <row r="1" spans="1:6" ht="18.75" x14ac:dyDescent="0.25">
      <c r="A1" s="2" t="s">
        <v>133</v>
      </c>
      <c r="B1" s="3" t="s">
        <v>134</v>
      </c>
      <c r="C1" s="3" t="s">
        <v>135</v>
      </c>
      <c r="D1" s="3" t="s">
        <v>136</v>
      </c>
      <c r="E1" s="3" t="s">
        <v>137</v>
      </c>
      <c r="F1" s="3" t="s">
        <v>165</v>
      </c>
    </row>
    <row r="2" spans="1:6" ht="19.5" thickBot="1" x14ac:dyDescent="0.3">
      <c r="A2" s="16">
        <v>101</v>
      </c>
      <c r="B2" s="18" t="s">
        <v>138</v>
      </c>
      <c r="C2" s="18" t="s">
        <v>139</v>
      </c>
      <c r="D2" s="18" t="s">
        <v>140</v>
      </c>
      <c r="E2" s="18">
        <v>65000</v>
      </c>
      <c r="F2" s="18" t="str">
        <f>VLOOKUP(C2,'Dept Code Refs'!A:B,2,FALSE)</f>
        <v>Marketing</v>
      </c>
    </row>
    <row r="3" spans="1:6" ht="19.5" thickBot="1" x14ac:dyDescent="0.3">
      <c r="A3" s="16">
        <v>102</v>
      </c>
      <c r="B3" s="18" t="s">
        <v>141</v>
      </c>
      <c r="C3" s="18" t="s">
        <v>142</v>
      </c>
      <c r="D3" s="18" t="s">
        <v>143</v>
      </c>
      <c r="E3" s="18">
        <v>95000</v>
      </c>
      <c r="F3" s="18" t="str">
        <f>VLOOKUP(C3,'Dept Code Refs'!A:B,2,FALSE)</f>
        <v>Engineering</v>
      </c>
    </row>
    <row r="4" spans="1:6" ht="19.5" thickBot="1" x14ac:dyDescent="0.3">
      <c r="A4" s="16">
        <v>103</v>
      </c>
      <c r="B4" s="18" t="s">
        <v>144</v>
      </c>
      <c r="C4" s="18" t="s">
        <v>139</v>
      </c>
      <c r="D4" s="18" t="s">
        <v>145</v>
      </c>
      <c r="E4" s="18">
        <v>42000</v>
      </c>
      <c r="F4" s="18" t="str">
        <f>VLOOKUP(C4,'Dept Code Refs'!A:B,2,FALSE)</f>
        <v>Marketing</v>
      </c>
    </row>
    <row r="5" spans="1:6" ht="19.5" thickBot="1" x14ac:dyDescent="0.3">
      <c r="A5" s="16">
        <v>104</v>
      </c>
      <c r="B5" s="18" t="s">
        <v>146</v>
      </c>
      <c r="C5" s="18" t="s">
        <v>147</v>
      </c>
      <c r="D5" s="18" t="s">
        <v>140</v>
      </c>
      <c r="E5" s="18">
        <v>58000</v>
      </c>
      <c r="F5" s="18" t="str">
        <f>VLOOKUP(C5,'Dept Code Refs'!A:B,2,FALSE)</f>
        <v>Human Resources</v>
      </c>
    </row>
    <row r="6" spans="1:6" ht="19.5" thickBot="1" x14ac:dyDescent="0.3">
      <c r="A6" s="16">
        <v>105</v>
      </c>
      <c r="B6" s="18" t="s">
        <v>148</v>
      </c>
      <c r="C6" s="18" t="s">
        <v>142</v>
      </c>
      <c r="D6" s="18" t="s">
        <v>145</v>
      </c>
      <c r="E6" s="18">
        <v>50000</v>
      </c>
      <c r="F6" s="18" t="str">
        <f>VLOOKUP(C6,'Dept Code Refs'!A:B,2,FALSE)</f>
        <v>Engineering</v>
      </c>
    </row>
    <row r="7" spans="1:6" ht="19.5" thickBot="1" x14ac:dyDescent="0.3">
      <c r="A7" s="16">
        <v>106</v>
      </c>
      <c r="B7" s="18" t="s">
        <v>149</v>
      </c>
      <c r="C7" s="18" t="s">
        <v>147</v>
      </c>
      <c r="D7" s="18" t="s">
        <v>150</v>
      </c>
      <c r="E7" s="18">
        <v>120000</v>
      </c>
      <c r="F7" s="18" t="str">
        <f>VLOOKUP(C7,'Dept Code Refs'!A:B,2,FALSE)</f>
        <v>Human Resources</v>
      </c>
    </row>
    <row r="8" spans="1:6" ht="19.5" thickBot="1" x14ac:dyDescent="0.3">
      <c r="A8" s="16">
        <v>107</v>
      </c>
      <c r="B8" s="18" t="s">
        <v>151</v>
      </c>
      <c r="C8" s="18" t="s">
        <v>142</v>
      </c>
      <c r="D8" s="18" t="s">
        <v>140</v>
      </c>
      <c r="E8" s="18">
        <v>72000</v>
      </c>
      <c r="F8" s="18" t="str">
        <f>VLOOKUP(C8,'Dept Code Refs'!A:B,2,FALSE)</f>
        <v>Engineering</v>
      </c>
    </row>
    <row r="9" spans="1:6" ht="19.5" thickBot="1" x14ac:dyDescent="0.3">
      <c r="A9" s="16">
        <v>108</v>
      </c>
      <c r="B9" s="18" t="s">
        <v>152</v>
      </c>
      <c r="C9" s="18" t="s">
        <v>139</v>
      </c>
      <c r="D9" s="18" t="s">
        <v>143</v>
      </c>
      <c r="E9" s="18">
        <v>88000</v>
      </c>
      <c r="F9" s="18" t="str">
        <f>VLOOKUP(C9,'Dept Code Refs'!A:B,2,FALSE)</f>
        <v>Marketing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9F45B-1575-4777-83F8-DD01952D37B8}">
  <dimension ref="A1:B4"/>
  <sheetViews>
    <sheetView workbookViewId="0">
      <selection activeCell="B4" sqref="B4"/>
    </sheetView>
  </sheetViews>
  <sheetFormatPr defaultRowHeight="15" x14ac:dyDescent="0.25"/>
  <cols>
    <col min="1" max="1" width="35.7109375" customWidth="1"/>
    <col min="2" max="2" width="33.7109375" customWidth="1"/>
  </cols>
  <sheetData>
    <row r="1" spans="1:2" ht="18.75" x14ac:dyDescent="0.25">
      <c r="A1" s="14" t="s">
        <v>135</v>
      </c>
      <c r="B1" s="15" t="s">
        <v>153</v>
      </c>
    </row>
    <row r="2" spans="1:2" ht="19.5" thickBot="1" x14ac:dyDescent="0.3">
      <c r="A2" s="16" t="s">
        <v>139</v>
      </c>
      <c r="B2" s="18" t="s">
        <v>154</v>
      </c>
    </row>
    <row r="3" spans="1:2" ht="19.5" thickBot="1" x14ac:dyDescent="0.3">
      <c r="A3" s="16" t="s">
        <v>142</v>
      </c>
      <c r="B3" s="18" t="s">
        <v>155</v>
      </c>
    </row>
    <row r="4" spans="1:2" ht="19.5" thickBot="1" x14ac:dyDescent="0.3">
      <c r="A4" s="16" t="s">
        <v>147</v>
      </c>
      <c r="B4" s="18" t="s">
        <v>156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3E40D-F610-491F-92DC-DC7268B2379F}">
  <dimension ref="A3:F8"/>
  <sheetViews>
    <sheetView workbookViewId="0">
      <selection activeCell="B4" sqref="B4"/>
    </sheetView>
  </sheetViews>
  <sheetFormatPr defaultRowHeight="15" x14ac:dyDescent="0.25"/>
  <cols>
    <col min="1" max="1" width="27.85546875" bestFit="1" customWidth="1"/>
    <col min="2" max="2" width="21.42578125" bestFit="1" customWidth="1"/>
    <col min="3" max="3" width="12.5703125" bestFit="1" customWidth="1"/>
    <col min="4" max="4" width="6" bestFit="1" customWidth="1"/>
    <col min="5" max="5" width="8.85546875" bestFit="1" customWidth="1"/>
    <col min="6" max="6" width="16" bestFit="1" customWidth="1"/>
    <col min="7" max="7" width="11.7109375" bestFit="1" customWidth="1"/>
    <col min="8" max="8" width="17.7109375" bestFit="1" customWidth="1"/>
    <col min="9" max="9" width="9.85546875" bestFit="1" customWidth="1"/>
    <col min="10" max="10" width="9.140625" bestFit="1" customWidth="1"/>
    <col min="11" max="11" width="11.7109375" bestFit="1" customWidth="1"/>
    <col min="12" max="12" width="9.85546875" bestFit="1" customWidth="1"/>
    <col min="13" max="13" width="11.7109375" bestFit="1" customWidth="1"/>
    <col min="14" max="14" width="11.28515625" bestFit="1" customWidth="1"/>
  </cols>
  <sheetData>
    <row r="3" spans="1:6" ht="18.75" x14ac:dyDescent="0.3">
      <c r="A3" s="20" t="s">
        <v>158</v>
      </c>
      <c r="B3" s="20" t="s">
        <v>171</v>
      </c>
      <c r="C3" s="6"/>
      <c r="D3" s="6"/>
      <c r="E3" s="6"/>
      <c r="F3" s="6"/>
    </row>
    <row r="4" spans="1:6" ht="18.75" x14ac:dyDescent="0.3">
      <c r="A4" s="20" t="s">
        <v>153</v>
      </c>
      <c r="B4" s="6" t="s">
        <v>145</v>
      </c>
      <c r="C4" s="6" t="s">
        <v>150</v>
      </c>
      <c r="D4" s="6" t="s">
        <v>140</v>
      </c>
      <c r="E4" s="6" t="s">
        <v>143</v>
      </c>
      <c r="F4" s="6" t="s">
        <v>157</v>
      </c>
    </row>
    <row r="5" spans="1:6" ht="18.75" x14ac:dyDescent="0.3">
      <c r="A5" s="21" t="s">
        <v>155</v>
      </c>
      <c r="B5" s="6">
        <v>1</v>
      </c>
      <c r="C5" s="6"/>
      <c r="D5" s="6">
        <v>1</v>
      </c>
      <c r="E5" s="6">
        <v>1</v>
      </c>
      <c r="F5" s="6">
        <v>3</v>
      </c>
    </row>
    <row r="6" spans="1:6" ht="18.75" x14ac:dyDescent="0.3">
      <c r="A6" s="21" t="s">
        <v>156</v>
      </c>
      <c r="B6" s="6"/>
      <c r="C6" s="6">
        <v>1</v>
      </c>
      <c r="D6" s="6">
        <v>1</v>
      </c>
      <c r="E6" s="6"/>
      <c r="F6" s="6">
        <v>2</v>
      </c>
    </row>
    <row r="7" spans="1:6" ht="18.75" x14ac:dyDescent="0.3">
      <c r="A7" s="21" t="s">
        <v>154</v>
      </c>
      <c r="B7" s="6">
        <v>1</v>
      </c>
      <c r="C7" s="6"/>
      <c r="D7" s="6">
        <v>1</v>
      </c>
      <c r="E7" s="6">
        <v>1</v>
      </c>
      <c r="F7" s="6">
        <v>3</v>
      </c>
    </row>
    <row r="8" spans="1:6" ht="18.75" x14ac:dyDescent="0.3">
      <c r="A8" s="21" t="s">
        <v>157</v>
      </c>
      <c r="B8" s="6">
        <v>2</v>
      </c>
      <c r="C8" s="6">
        <v>1</v>
      </c>
      <c r="D8" s="6">
        <v>3</v>
      </c>
      <c r="E8" s="6">
        <v>2</v>
      </c>
      <c r="F8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FD0F1-E770-4DEA-A5EA-45390F625793}">
  <dimension ref="A3:E9"/>
  <sheetViews>
    <sheetView tabSelected="1" workbookViewId="0">
      <selection activeCell="C13" sqref="C13"/>
    </sheetView>
  </sheetViews>
  <sheetFormatPr defaultRowHeight="15" x14ac:dyDescent="0.25"/>
  <cols>
    <col min="1" max="1" width="18" bestFit="1" customWidth="1"/>
    <col min="2" max="2" width="15.5703125" bestFit="1" customWidth="1"/>
    <col min="3" max="3" width="23" bestFit="1" customWidth="1"/>
    <col min="4" max="4" width="13.85546875" bestFit="1" customWidth="1"/>
    <col min="5" max="5" width="16" bestFit="1" customWidth="1"/>
    <col min="6" max="6" width="11.28515625" bestFit="1" customWidth="1"/>
  </cols>
  <sheetData>
    <row r="3" spans="1:5" ht="18.75" x14ac:dyDescent="0.3">
      <c r="A3" s="20" t="s">
        <v>159</v>
      </c>
      <c r="B3" s="20" t="s">
        <v>172</v>
      </c>
      <c r="C3" s="6"/>
      <c r="D3" s="6"/>
      <c r="E3" s="6"/>
    </row>
    <row r="4" spans="1:5" ht="18.75" x14ac:dyDescent="0.3">
      <c r="A4" s="20" t="s">
        <v>136</v>
      </c>
      <c r="B4" s="6" t="s">
        <v>155</v>
      </c>
      <c r="C4" s="6" t="s">
        <v>156</v>
      </c>
      <c r="D4" s="6" t="s">
        <v>154</v>
      </c>
      <c r="E4" s="6" t="s">
        <v>157</v>
      </c>
    </row>
    <row r="5" spans="1:5" ht="18.75" x14ac:dyDescent="0.3">
      <c r="A5" s="21" t="s">
        <v>145</v>
      </c>
      <c r="B5" s="6">
        <v>50000</v>
      </c>
      <c r="C5" s="6"/>
      <c r="D5" s="6">
        <v>42000</v>
      </c>
      <c r="E5" s="6">
        <v>92000</v>
      </c>
    </row>
    <row r="6" spans="1:5" ht="18.75" x14ac:dyDescent="0.3">
      <c r="A6" s="21" t="s">
        <v>150</v>
      </c>
      <c r="B6" s="6"/>
      <c r="C6" s="6">
        <v>120000</v>
      </c>
      <c r="D6" s="6"/>
      <c r="E6" s="6">
        <v>120000</v>
      </c>
    </row>
    <row r="7" spans="1:5" ht="18.75" x14ac:dyDescent="0.3">
      <c r="A7" s="21" t="s">
        <v>140</v>
      </c>
      <c r="B7" s="6">
        <v>72000</v>
      </c>
      <c r="C7" s="6">
        <v>58000</v>
      </c>
      <c r="D7" s="6">
        <v>65000</v>
      </c>
      <c r="E7" s="6">
        <v>195000</v>
      </c>
    </row>
    <row r="8" spans="1:5" ht="18.75" x14ac:dyDescent="0.3">
      <c r="A8" s="21" t="s">
        <v>143</v>
      </c>
      <c r="B8" s="6">
        <v>95000</v>
      </c>
      <c r="C8" s="6"/>
      <c r="D8" s="6">
        <v>88000</v>
      </c>
      <c r="E8" s="6">
        <v>183000</v>
      </c>
    </row>
    <row r="9" spans="1:5" ht="18.75" x14ac:dyDescent="0.3">
      <c r="A9" s="21" t="s">
        <v>157</v>
      </c>
      <c r="B9" s="6">
        <v>217000</v>
      </c>
      <c r="C9" s="6">
        <v>178000</v>
      </c>
      <c r="D9" s="6">
        <v>195000</v>
      </c>
      <c r="E9" s="6">
        <v>590000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306B0B0-40B0-4E91-B7D8-CC24F0A8C5C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5</vt:i4>
      </vt:variant>
    </vt:vector>
  </HeadingPairs>
  <TitlesOfParts>
    <vt:vector size="13" baseType="lpstr">
      <vt:lpstr>Sheet1</vt:lpstr>
      <vt:lpstr>Sheet2</vt:lpstr>
      <vt:lpstr>Sheet3</vt:lpstr>
      <vt:lpstr>Sheet4</vt:lpstr>
      <vt:lpstr>Employee Data</vt:lpstr>
      <vt:lpstr>Dept Code Refs</vt:lpstr>
      <vt:lpstr>Pivot Table1</vt:lpstr>
      <vt:lpstr>Pivot Table2</vt:lpstr>
      <vt:lpstr>a</vt:lpstr>
      <vt:lpstr>Sheet1!total</vt:lpstr>
      <vt:lpstr>total</vt:lpstr>
      <vt:lpstr>Year_email_total</vt:lpstr>
      <vt:lpstr>Year_SR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Leen Adel</dc:creator>
  <cp:lastModifiedBy>Leen Adel</cp:lastModifiedBy>
  <dcterms:created xsi:type="dcterms:W3CDTF">2026-08-19T09:51:35Z</dcterms:created>
  <dcterms:modified xsi:type="dcterms:W3CDTF">2026-08-25T14:42:44Z</dcterms:modified>
</cp:coreProperties>
</file>